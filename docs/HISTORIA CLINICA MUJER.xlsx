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7edbad86bb85e/Escritorio/PROYECTOS EMPRESAS 2026/"/>
    </mc:Choice>
  </mc:AlternateContent>
  <xr:revisionPtr revIDLastSave="0" documentId="8_{55853A40-3467-4C99-BD47-5A3C72142579}" xr6:coauthVersionLast="47" xr6:coauthVersionMax="47" xr10:uidLastSave="{00000000-0000-0000-0000-000000000000}"/>
  <bookViews>
    <workbookView xWindow="-110" yWindow="-110" windowWidth="19420" windowHeight="11500" xr2:uid="{E4F4F567-07B9-4C8F-855B-46718F9342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" i="1" l="1"/>
  <c r="D50" i="1"/>
  <c r="C50" i="1"/>
  <c r="B50" i="1"/>
  <c r="E49" i="1"/>
  <c r="D49" i="1"/>
  <c r="C49" i="1"/>
  <c r="B49" i="1"/>
  <c r="E46" i="1"/>
  <c r="D46" i="1"/>
  <c r="C46" i="1"/>
  <c r="B46" i="1"/>
  <c r="E45" i="1"/>
  <c r="D45" i="1"/>
  <c r="C45" i="1"/>
  <c r="B45" i="1"/>
</calcChain>
</file>

<file path=xl/sharedStrings.xml><?xml version="1.0" encoding="utf-8"?>
<sst xmlns="http://schemas.openxmlformats.org/spreadsheetml/2006/main" count="59" uniqueCount="58">
  <si>
    <t xml:space="preserve"> </t>
  </si>
  <si>
    <t>NOMBRE:</t>
  </si>
  <si>
    <t>EDAD:</t>
  </si>
  <si>
    <t>SEXO:</t>
  </si>
  <si>
    <t>MOTIVOS:</t>
  </si>
  <si>
    <t>(   ) Hipertrigliceridemia</t>
  </si>
  <si>
    <t>(   ) Alergias</t>
  </si>
  <si>
    <t>(  ) Colitis</t>
  </si>
  <si>
    <t>(   ) Estreñimiento</t>
  </si>
  <si>
    <t>(  ) Hipertensión arterial 120/90</t>
  </si>
  <si>
    <t>¿Se ha realizado Qímica sanguínea?</t>
  </si>
  <si>
    <t xml:space="preserve">Valores de salud: </t>
  </si>
  <si>
    <t>¿Toma medicamentos, complementos o suplementos?</t>
  </si>
  <si>
    <t xml:space="preserve">¿Cuáles? </t>
  </si>
  <si>
    <t>Mujeres</t>
  </si>
  <si>
    <t>Fecha de última menstruación</t>
  </si>
  <si>
    <t>Método anticonceptivo</t>
  </si>
  <si>
    <t xml:space="preserve">¿Está lactando? </t>
  </si>
  <si>
    <t>Su actividad diaria es:</t>
  </si>
  <si>
    <t>1.- ¿Practica algun deporte?</t>
  </si>
  <si>
    <t>2.-¿Cuál?</t>
  </si>
  <si>
    <t>3.- Frecuencia (veces/semana/tiempo)</t>
  </si>
  <si>
    <t>Historia de peso corporal</t>
  </si>
  <si>
    <t>Peso en Kg:</t>
  </si>
  <si>
    <t>Talla en mts:</t>
  </si>
  <si>
    <t>Brazo relaj</t>
  </si>
  <si>
    <t>Brazo flex</t>
  </si>
  <si>
    <t>Cintura en cm:</t>
  </si>
  <si>
    <t>Abdómen en cms:</t>
  </si>
  <si>
    <t>Cadera en cms:</t>
  </si>
  <si>
    <t>Muslo</t>
  </si>
  <si>
    <t>Pantorrilla</t>
  </si>
  <si>
    <t>IMC:</t>
  </si>
  <si>
    <t>Indice C/C:</t>
  </si>
  <si>
    <t>Riesgo de IMC</t>
  </si>
  <si>
    <t>Riesgo de C/C</t>
  </si>
  <si>
    <t>peso minimo</t>
  </si>
  <si>
    <t xml:space="preserve">peso maximo </t>
  </si>
  <si>
    <t>HISTORIA NUTRICIA</t>
  </si>
  <si>
    <t>FECHA:</t>
  </si>
  <si>
    <t>(   ) Hipercolesterolemia</t>
  </si>
  <si>
    <t>(   ) Gastritis</t>
  </si>
  <si>
    <t>(  ) Reflujo</t>
  </si>
  <si>
    <t>o agruras</t>
  </si>
  <si>
    <t>(   ) Migrañas o dolor de cabeza</t>
  </si>
  <si>
    <t xml:space="preserve"> ¿Hace cuándo?</t>
  </si>
  <si>
    <t xml:space="preserve">PERIODO- REGULAR </t>
  </si>
  <si>
    <t xml:space="preserve">EMBARAZASOS: NO </t>
  </si>
  <si>
    <t>PESO MARZO:  63.6 KG</t>
  </si>
  <si>
    <t>PESO DIC 2025: 60 KG</t>
  </si>
  <si>
    <t>Consulta 1</t>
  </si>
  <si>
    <t>Consulta 2</t>
  </si>
  <si>
    <t>Consulta 3</t>
  </si>
  <si>
    <t>Consulta 4</t>
  </si>
  <si>
    <t>DEBAJO DE</t>
  </si>
  <si>
    <t>METAS</t>
  </si>
  <si>
    <t xml:space="preserve">sobrepeso </t>
  </si>
  <si>
    <t xml:space="preserve">SIN RIESGO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</si>
</sst>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\-yy;@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9"/>
      <name val="Trebuchet MS"/>
      <family val="2"/>
    </font>
    <font>
      <sz val="6"/>
      <name val="Trebuchet MS"/>
      <family val="2"/>
    </font>
    <font>
      <b/>
      <sz val="9"/>
      <name val="Trebuchet MS"/>
      <family val="2"/>
    </font>
    <font>
      <sz val="9"/>
      <color indexed="8"/>
      <name val="Trebuchet MS"/>
      <family val="2"/>
    </font>
    <font>
      <sz val="11"/>
      <color indexed="8"/>
      <name val="Calibri"/>
      <family val="2"/>
    </font>
    <font>
      <b/>
      <sz val="10"/>
      <name val="Trebuchet MS"/>
      <family val="2"/>
    </font>
    <font>
      <b/>
      <sz val="10"/>
      <name val="Arial"/>
      <family val="2"/>
    </font>
    <font>
      <sz val="10"/>
      <name val="Arial"/>
      <family val="2"/>
    </font>
    <font>
      <u/>
      <sz val="9"/>
      <name val="Trebuchet MS"/>
      <family val="2"/>
    </font>
    <font>
      <sz val="9"/>
      <color indexed="8"/>
      <name val="Calibri"/>
      <family val="2"/>
    </font>
    <font>
      <sz val="10"/>
      <name val="Trebuchet MS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0" fontId="4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5" fillId="2" borderId="0" xfId="0" applyFont="1" applyFill="1"/>
    <xf numFmtId="0" fontId="6" fillId="2" borderId="5" xfId="0" applyFont="1" applyFill="1" applyBorder="1"/>
    <xf numFmtId="0" fontId="6" fillId="2" borderId="0" xfId="0" applyFont="1" applyFill="1"/>
    <xf numFmtId="0" fontId="7" fillId="3" borderId="6" xfId="0" applyFont="1" applyFill="1" applyBorder="1"/>
    <xf numFmtId="0" fontId="8" fillId="2" borderId="6" xfId="0" applyFont="1" applyFill="1" applyBorder="1"/>
    <xf numFmtId="0" fontId="5" fillId="0" borderId="0" xfId="0" applyFont="1"/>
    <xf numFmtId="0" fontId="3" fillId="2" borderId="0" xfId="0" applyFont="1" applyFill="1" applyAlignment="1">
      <alignment horizontal="center"/>
    </xf>
    <xf numFmtId="14" fontId="1" fillId="2" borderId="2" xfId="0" applyNumberFormat="1" applyFont="1" applyFill="1" applyBorder="1"/>
    <xf numFmtId="0" fontId="1" fillId="2" borderId="7" xfId="0" applyFont="1" applyFill="1" applyBorder="1"/>
    <xf numFmtId="0" fontId="9" fillId="2" borderId="2" xfId="0" applyFont="1" applyFill="1" applyBorder="1"/>
    <xf numFmtId="15" fontId="1" fillId="2" borderId="2" xfId="0" applyNumberFormat="1" applyFont="1" applyFill="1" applyBorder="1"/>
    <xf numFmtId="0" fontId="2" fillId="2" borderId="0" xfId="0" applyFont="1" applyFill="1" applyAlignment="1">
      <alignment horizontal="left"/>
    </xf>
    <xf numFmtId="0" fontId="1" fillId="2" borderId="5" xfId="0" applyFont="1" applyFill="1" applyBorder="1"/>
    <xf numFmtId="0" fontId="10" fillId="2" borderId="8" xfId="0" applyFont="1" applyFill="1" applyBorder="1"/>
    <xf numFmtId="0" fontId="10" fillId="2" borderId="9" xfId="0" applyFont="1" applyFill="1" applyBorder="1"/>
    <xf numFmtId="0" fontId="1" fillId="2" borderId="9" xfId="0" applyFont="1" applyFill="1" applyBorder="1"/>
    <xf numFmtId="0" fontId="4" fillId="2" borderId="2" xfId="0" applyFont="1" applyFill="1" applyBorder="1"/>
    <xf numFmtId="0" fontId="1" fillId="2" borderId="10" xfId="0" applyFont="1" applyFill="1" applyBorder="1"/>
    <xf numFmtId="0" fontId="4" fillId="2" borderId="5" xfId="0" applyFont="1" applyFill="1" applyBorder="1"/>
    <xf numFmtId="0" fontId="1" fillId="2" borderId="8" xfId="0" applyFont="1" applyFill="1" applyBorder="1"/>
    <xf numFmtId="0" fontId="9" fillId="2" borderId="7" xfId="0" applyFont="1" applyFill="1" applyBorder="1"/>
    <xf numFmtId="0" fontId="9" fillId="2" borderId="11" xfId="0" applyFont="1" applyFill="1" applyBorder="1"/>
    <xf numFmtId="0" fontId="9" fillId="2" borderId="0" xfId="0" applyFont="1" applyFill="1"/>
    <xf numFmtId="0" fontId="5" fillId="2" borderId="2" xfId="0" applyFont="1" applyFill="1" applyBorder="1"/>
    <xf numFmtId="0" fontId="11" fillId="2" borderId="5" xfId="0" applyFont="1" applyFill="1" applyBorder="1"/>
    <xf numFmtId="0" fontId="1" fillId="2" borderId="11" xfId="0" applyFont="1" applyFill="1" applyBorder="1"/>
    <xf numFmtId="0" fontId="7" fillId="3" borderId="6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164" fontId="7" fillId="4" borderId="6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2" fontId="5" fillId="2" borderId="6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5" fontId="5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0269-E575-4DA9-8A56-A37A0EAA3E4A}">
  <dimension ref="A1:H53"/>
  <sheetViews>
    <sheetView tabSelected="1" topLeftCell="A27" workbookViewId="0">
      <selection activeCell="G43" sqref="G43"/>
    </sheetView>
  </sheetViews>
  <sheetFormatPr baseColWidth="10" defaultRowHeight="14.5" x14ac:dyDescent="0.35"/>
  <cols>
    <col min="1" max="1" width="20.1796875" style="14" customWidth="1"/>
    <col min="2" max="5" width="10.90625" style="14"/>
    <col min="6" max="6" width="12.6328125" style="14" customWidth="1"/>
    <col min="7" max="8" width="10.90625" style="14"/>
  </cols>
  <sheetData>
    <row r="1" spans="1:8" x14ac:dyDescent="0.35">
      <c r="A1" s="1" t="s">
        <v>0</v>
      </c>
      <c r="B1" s="1"/>
      <c r="C1" s="15" t="s">
        <v>38</v>
      </c>
      <c r="D1" s="15"/>
      <c r="E1" s="1"/>
      <c r="F1" s="1"/>
      <c r="G1" s="1"/>
      <c r="H1" s="1"/>
    </row>
    <row r="2" spans="1:8" x14ac:dyDescent="0.35">
      <c r="A2" s="1"/>
      <c r="B2" s="1"/>
      <c r="C2" s="1"/>
      <c r="D2" s="1"/>
      <c r="E2" s="6" t="s">
        <v>39</v>
      </c>
      <c r="F2" s="16">
        <v>46201</v>
      </c>
      <c r="G2" s="6"/>
      <c r="H2" s="1"/>
    </row>
    <row r="3" spans="1:8" x14ac:dyDescent="0.35">
      <c r="A3" s="1" t="s">
        <v>1</v>
      </c>
      <c r="B3" s="6"/>
      <c r="C3" s="6"/>
      <c r="D3" s="6"/>
      <c r="E3" s="17"/>
      <c r="F3" s="17"/>
      <c r="G3" s="1"/>
      <c r="H3" s="1"/>
    </row>
    <row r="4" spans="1:8" x14ac:dyDescent="0.35">
      <c r="A4" s="1" t="s">
        <v>2</v>
      </c>
      <c r="B4" s="6"/>
      <c r="C4" s="1"/>
      <c r="D4" s="18" t="s">
        <v>39</v>
      </c>
      <c r="E4" s="19"/>
      <c r="F4" s="6"/>
      <c r="G4" s="6"/>
      <c r="H4" s="1"/>
    </row>
    <row r="5" spans="1:8" x14ac:dyDescent="0.35">
      <c r="A5" s="1" t="s">
        <v>3</v>
      </c>
      <c r="B5" s="1"/>
      <c r="C5" s="1"/>
      <c r="D5" s="9"/>
      <c r="E5" s="1"/>
      <c r="F5" s="1"/>
      <c r="G5" s="1"/>
      <c r="H5" s="1"/>
    </row>
    <row r="6" spans="1:8" x14ac:dyDescent="0.35">
      <c r="A6" s="1" t="s">
        <v>4</v>
      </c>
      <c r="B6" s="20"/>
      <c r="C6" s="1"/>
      <c r="D6" s="1"/>
      <c r="E6" s="1"/>
      <c r="F6" s="1"/>
      <c r="G6" s="1"/>
      <c r="H6" s="1"/>
    </row>
    <row r="7" spans="1:8" x14ac:dyDescent="0.35">
      <c r="A7" s="2"/>
      <c r="B7" s="20"/>
      <c r="C7" s="1"/>
      <c r="D7" s="1"/>
      <c r="E7" s="1"/>
      <c r="F7" s="1"/>
      <c r="G7" s="1"/>
      <c r="H7" s="1"/>
    </row>
    <row r="8" spans="1:8" x14ac:dyDescent="0.35">
      <c r="A8" s="3"/>
      <c r="B8" s="20"/>
      <c r="C8" s="1"/>
      <c r="D8" s="1"/>
      <c r="E8" s="1"/>
      <c r="F8" s="1"/>
      <c r="G8" s="1"/>
      <c r="H8" s="1"/>
    </row>
    <row r="9" spans="1:8" x14ac:dyDescent="0.35">
      <c r="A9" s="3"/>
      <c r="B9" s="2"/>
      <c r="C9" s="1"/>
      <c r="D9" s="1"/>
      <c r="E9" s="1"/>
      <c r="F9" s="1"/>
      <c r="G9" s="1"/>
      <c r="H9" s="1"/>
    </row>
    <row r="10" spans="1:8" x14ac:dyDescent="0.35">
      <c r="A10" s="4" t="s">
        <v>5</v>
      </c>
      <c r="B10" s="21"/>
      <c r="C10" s="21"/>
      <c r="D10" s="21" t="s">
        <v>40</v>
      </c>
      <c r="E10" s="21"/>
      <c r="F10" s="22"/>
      <c r="G10" s="1"/>
      <c r="H10" s="1"/>
    </row>
    <row r="11" spans="1:8" x14ac:dyDescent="0.35">
      <c r="A11" s="1" t="s">
        <v>6</v>
      </c>
      <c r="B11" s="1"/>
      <c r="C11" s="1"/>
      <c r="D11" s="1" t="s">
        <v>41</v>
      </c>
      <c r="E11" s="1"/>
      <c r="F11" s="23"/>
      <c r="G11" s="1"/>
      <c r="H11" s="1"/>
    </row>
    <row r="12" spans="1:8" x14ac:dyDescent="0.35">
      <c r="A12" s="1" t="s">
        <v>7</v>
      </c>
      <c r="B12" s="1"/>
      <c r="C12" s="1"/>
      <c r="D12" s="1" t="s">
        <v>42</v>
      </c>
      <c r="E12" s="1" t="s">
        <v>43</v>
      </c>
      <c r="F12" s="24"/>
      <c r="G12" s="1"/>
      <c r="H12" s="1"/>
    </row>
    <row r="13" spans="1:8" x14ac:dyDescent="0.35">
      <c r="A13" s="5" t="s">
        <v>8</v>
      </c>
      <c r="B13" s="5"/>
      <c r="C13" s="1"/>
      <c r="D13" s="1" t="s">
        <v>44</v>
      </c>
      <c r="E13" s="1"/>
      <c r="F13" s="23"/>
      <c r="G13" s="1"/>
      <c r="H13" s="1"/>
    </row>
    <row r="14" spans="1:8" x14ac:dyDescent="0.35">
      <c r="A14" s="6" t="s">
        <v>9</v>
      </c>
      <c r="B14" s="6"/>
      <c r="C14" s="6"/>
      <c r="D14" s="25"/>
      <c r="E14" s="6"/>
      <c r="F14" s="26"/>
      <c r="G14" s="1"/>
      <c r="H14" s="1"/>
    </row>
    <row r="15" spans="1:8" x14ac:dyDescent="0.35">
      <c r="A15" s="1"/>
      <c r="B15" s="1"/>
      <c r="C15" s="1"/>
      <c r="D15" s="5"/>
      <c r="E15" s="1"/>
      <c r="F15" s="1"/>
      <c r="G15" s="1"/>
      <c r="H15" s="1"/>
    </row>
    <row r="16" spans="1:8" x14ac:dyDescent="0.35">
      <c r="A16" s="4" t="s">
        <v>10</v>
      </c>
      <c r="B16" s="21"/>
      <c r="C16" s="21"/>
      <c r="D16" s="27"/>
      <c r="E16" s="21" t="s">
        <v>45</v>
      </c>
      <c r="F16" s="21"/>
      <c r="G16" s="28"/>
      <c r="H16" s="1"/>
    </row>
    <row r="17" spans="1:8" x14ac:dyDescent="0.35">
      <c r="A17" s="7" t="s">
        <v>11</v>
      </c>
      <c r="B17" s="1"/>
      <c r="C17" s="1"/>
      <c r="D17" s="5"/>
      <c r="E17" s="1"/>
      <c r="F17" s="1"/>
      <c r="G17" s="24"/>
      <c r="H17" s="1"/>
    </row>
    <row r="18" spans="1:8" x14ac:dyDescent="0.35">
      <c r="A18" s="7"/>
      <c r="B18" s="1"/>
      <c r="C18" s="1"/>
      <c r="D18" s="5"/>
      <c r="E18" s="1"/>
      <c r="F18" s="1"/>
      <c r="G18" s="24"/>
      <c r="H18" s="1"/>
    </row>
    <row r="19" spans="1:8" x14ac:dyDescent="0.35">
      <c r="A19" s="7" t="s">
        <v>12</v>
      </c>
      <c r="B19" s="1"/>
      <c r="C19" s="1"/>
      <c r="D19" s="5"/>
      <c r="E19" s="1"/>
      <c r="F19" s="1"/>
      <c r="G19" s="24"/>
      <c r="H19" s="1"/>
    </row>
    <row r="20" spans="1:8" x14ac:dyDescent="0.35">
      <c r="A20" s="8" t="s">
        <v>13</v>
      </c>
      <c r="B20" s="6"/>
      <c r="C20" s="6"/>
      <c r="D20" s="25"/>
      <c r="E20" s="6"/>
      <c r="F20" s="6"/>
      <c r="G20" s="26"/>
      <c r="H20" s="1"/>
    </row>
    <row r="21" spans="1:8" x14ac:dyDescent="0.35">
      <c r="A21" s="9"/>
      <c r="B21" s="1"/>
      <c r="C21" s="1"/>
      <c r="D21" s="9"/>
      <c r="E21" s="1"/>
      <c r="F21" s="9"/>
      <c r="G21" s="1"/>
      <c r="H21" s="1"/>
    </row>
    <row r="22" spans="1:8" x14ac:dyDescent="0.35">
      <c r="A22" s="3" t="s">
        <v>14</v>
      </c>
      <c r="B22" s="1"/>
      <c r="C22" s="1"/>
      <c r="D22" s="1"/>
      <c r="E22" s="1"/>
      <c r="F22" s="1"/>
      <c r="G22" s="1"/>
      <c r="H22" s="1"/>
    </row>
    <row r="23" spans="1:8" x14ac:dyDescent="0.35">
      <c r="A23" s="4" t="s">
        <v>15</v>
      </c>
      <c r="B23" s="21"/>
      <c r="C23" s="29"/>
      <c r="D23" s="29"/>
      <c r="E23" s="21"/>
      <c r="F23" s="29" t="s">
        <v>46</v>
      </c>
      <c r="G23" s="30"/>
      <c r="H23" s="31"/>
    </row>
    <row r="24" spans="1:8" x14ac:dyDescent="0.35">
      <c r="A24" s="7" t="s">
        <v>16</v>
      </c>
      <c r="B24" s="1"/>
      <c r="C24" s="1"/>
      <c r="D24" s="1"/>
      <c r="E24" s="1"/>
      <c r="F24" s="1" t="s">
        <v>47</v>
      </c>
      <c r="G24" s="24"/>
      <c r="H24" s="1"/>
    </row>
    <row r="25" spans="1:8" x14ac:dyDescent="0.35">
      <c r="A25" s="8" t="s">
        <v>17</v>
      </c>
      <c r="B25" s="6"/>
      <c r="C25" s="6"/>
      <c r="D25" s="6"/>
      <c r="E25" s="32"/>
      <c r="F25" s="6"/>
      <c r="G25" s="26"/>
      <c r="H25" s="1"/>
    </row>
    <row r="26" spans="1:8" x14ac:dyDescent="0.35">
      <c r="A26" s="1"/>
      <c r="B26" s="1"/>
      <c r="C26" s="1"/>
      <c r="D26" s="1"/>
      <c r="E26" s="9"/>
      <c r="F26" s="1"/>
      <c r="G26" s="1"/>
      <c r="H26" s="1"/>
    </row>
    <row r="27" spans="1:8" x14ac:dyDescent="0.35">
      <c r="A27" s="10" t="s">
        <v>18</v>
      </c>
      <c r="B27" s="33"/>
      <c r="C27" s="33"/>
    </row>
    <row r="28" spans="1:8" x14ac:dyDescent="0.35">
      <c r="A28" s="7" t="s">
        <v>19</v>
      </c>
      <c r="B28" s="1"/>
      <c r="C28" s="1"/>
    </row>
    <row r="29" spans="1:8" x14ac:dyDescent="0.35">
      <c r="A29" s="7" t="s">
        <v>20</v>
      </c>
      <c r="B29" s="6"/>
      <c r="C29" s="6"/>
    </row>
    <row r="30" spans="1:8" x14ac:dyDescent="0.35">
      <c r="A30" s="7" t="s">
        <v>21</v>
      </c>
      <c r="B30" s="1"/>
      <c r="C30" s="1"/>
      <c r="D30" s="6"/>
      <c r="E30" s="17"/>
      <c r="F30" s="17"/>
      <c r="G30" s="34"/>
      <c r="H30" s="1"/>
    </row>
    <row r="31" spans="1:8" x14ac:dyDescent="0.35">
      <c r="A31" s="8"/>
      <c r="B31" s="6"/>
      <c r="C31" s="6"/>
      <c r="E31" s="6"/>
      <c r="H31" s="9"/>
    </row>
    <row r="32" spans="1:8" x14ac:dyDescent="0.35">
      <c r="A32" s="9"/>
      <c r="B32" s="2" t="s">
        <v>48</v>
      </c>
      <c r="C32" s="9"/>
      <c r="E32" s="9"/>
      <c r="F32" s="9"/>
      <c r="G32" s="9"/>
      <c r="H32" s="9"/>
    </row>
    <row r="33" spans="1:8" x14ac:dyDescent="0.35">
      <c r="A33" s="11" t="s">
        <v>22</v>
      </c>
      <c r="B33" s="2" t="s">
        <v>49</v>
      </c>
      <c r="C33" s="1"/>
      <c r="D33" s="1"/>
      <c r="E33" s="1"/>
      <c r="F33" s="1"/>
      <c r="G33" s="1"/>
      <c r="H33" s="1"/>
    </row>
    <row r="34" spans="1:8" x14ac:dyDescent="0.35">
      <c r="A34" s="9"/>
      <c r="B34" s="35" t="s">
        <v>50</v>
      </c>
      <c r="C34" s="35" t="s">
        <v>51</v>
      </c>
      <c r="D34" s="35" t="s">
        <v>52</v>
      </c>
      <c r="E34" s="35" t="s">
        <v>53</v>
      </c>
      <c r="F34" s="36" t="s">
        <v>54</v>
      </c>
      <c r="G34" s="36" t="s">
        <v>55</v>
      </c>
    </row>
    <row r="35" spans="1:8" x14ac:dyDescent="0.35">
      <c r="A35" s="9"/>
      <c r="B35" s="37">
        <v>46201</v>
      </c>
      <c r="C35" s="37"/>
      <c r="D35" s="37"/>
      <c r="E35" s="37"/>
    </row>
    <row r="36" spans="1:8" x14ac:dyDescent="0.35">
      <c r="A36" s="12" t="s">
        <v>23</v>
      </c>
      <c r="B36" s="38"/>
      <c r="C36" s="38"/>
      <c r="D36" s="38"/>
      <c r="E36" s="38"/>
      <c r="F36" s="39"/>
      <c r="G36" s="40"/>
    </row>
    <row r="37" spans="1:8" x14ac:dyDescent="0.35">
      <c r="A37" s="12" t="s">
        <v>24</v>
      </c>
      <c r="B37" s="41">
        <v>1.55</v>
      </c>
      <c r="C37" s="41">
        <v>1.55</v>
      </c>
      <c r="D37" s="41">
        <v>1.55</v>
      </c>
      <c r="E37" s="41">
        <v>1.55</v>
      </c>
    </row>
    <row r="38" spans="1:8" x14ac:dyDescent="0.35">
      <c r="A38" s="12" t="s">
        <v>25</v>
      </c>
      <c r="B38" s="38"/>
      <c r="C38" s="38"/>
      <c r="D38" s="38"/>
      <c r="E38" s="38"/>
    </row>
    <row r="39" spans="1:8" x14ac:dyDescent="0.35">
      <c r="A39" s="12" t="s">
        <v>26</v>
      </c>
      <c r="B39" s="38"/>
      <c r="C39" s="38"/>
      <c r="D39" s="38"/>
      <c r="E39" s="38"/>
    </row>
    <row r="40" spans="1:8" x14ac:dyDescent="0.35">
      <c r="A40" s="12" t="s">
        <v>27</v>
      </c>
      <c r="B40" s="38"/>
      <c r="C40" s="38"/>
      <c r="D40" s="38"/>
      <c r="E40" s="38"/>
      <c r="F40" s="42">
        <v>80</v>
      </c>
      <c r="G40" s="43"/>
    </row>
    <row r="41" spans="1:8" x14ac:dyDescent="0.35">
      <c r="A41" s="12" t="s">
        <v>28</v>
      </c>
      <c r="B41" s="38"/>
      <c r="C41" s="38"/>
      <c r="D41" s="38"/>
      <c r="E41" s="38"/>
      <c r="F41" s="42">
        <v>88</v>
      </c>
      <c r="G41" s="43"/>
    </row>
    <row r="42" spans="1:8" x14ac:dyDescent="0.35">
      <c r="A42" s="12" t="s">
        <v>29</v>
      </c>
      <c r="B42" s="38"/>
      <c r="C42" s="38"/>
      <c r="D42" s="38"/>
      <c r="E42" s="38"/>
      <c r="F42" s="42">
        <v>103</v>
      </c>
      <c r="G42" s="43"/>
    </row>
    <row r="43" spans="1:8" x14ac:dyDescent="0.35">
      <c r="A43" s="12" t="s">
        <v>30</v>
      </c>
      <c r="B43" s="38"/>
      <c r="C43" s="38"/>
      <c r="D43" s="38"/>
      <c r="E43" s="38"/>
    </row>
    <row r="44" spans="1:8" x14ac:dyDescent="0.35">
      <c r="A44" s="12" t="s">
        <v>31</v>
      </c>
      <c r="B44" s="38"/>
      <c r="C44" s="38"/>
      <c r="D44" s="38"/>
      <c r="E44" s="38"/>
    </row>
    <row r="45" spans="1:8" x14ac:dyDescent="0.35">
      <c r="A45" s="12" t="s">
        <v>32</v>
      </c>
      <c r="B45" s="38">
        <f t="shared" ref="B45:H45" si="0">B36/(B37^2)</f>
        <v>0</v>
      </c>
      <c r="C45" s="38">
        <f t="shared" si="0"/>
        <v>0</v>
      </c>
      <c r="D45" s="38">
        <f t="shared" si="0"/>
        <v>0</v>
      </c>
      <c r="E45" s="38">
        <f t="shared" si="0"/>
        <v>0</v>
      </c>
    </row>
    <row r="46" spans="1:8" x14ac:dyDescent="0.35">
      <c r="A46" s="12" t="s">
        <v>33</v>
      </c>
      <c r="B46" s="41" t="e">
        <f t="shared" ref="B46:H46" si="1">B40/B42</f>
        <v>#DIV/0!</v>
      </c>
      <c r="C46" s="41" t="e">
        <f t="shared" si="1"/>
        <v>#DIV/0!</v>
      </c>
      <c r="D46" s="41" t="e">
        <f t="shared" si="1"/>
        <v>#DIV/0!</v>
      </c>
      <c r="E46" s="41" t="e">
        <f t="shared" si="1"/>
        <v>#DIV/0!</v>
      </c>
    </row>
    <row r="47" spans="1:8" x14ac:dyDescent="0.35">
      <c r="A47" s="12" t="s">
        <v>34</v>
      </c>
      <c r="B47" s="38" t="s">
        <v>56</v>
      </c>
      <c r="C47" s="38"/>
      <c r="D47" s="38"/>
      <c r="E47" s="38"/>
    </row>
    <row r="48" spans="1:8" x14ac:dyDescent="0.35">
      <c r="A48" s="12" t="s">
        <v>35</v>
      </c>
      <c r="B48" s="38" t="s">
        <v>57</v>
      </c>
      <c r="C48" s="38"/>
      <c r="D48" s="38"/>
      <c r="E48" s="38"/>
    </row>
    <row r="49" spans="1:5" x14ac:dyDescent="0.35">
      <c r="A49" s="13" t="s">
        <v>36</v>
      </c>
      <c r="B49" s="38">
        <f>B37^2*25</f>
        <v>60.062500000000007</v>
      </c>
      <c r="C49" s="38">
        <f t="shared" ref="C49:G49" si="2">C37^2*25</f>
        <v>60.062500000000007</v>
      </c>
      <c r="D49" s="38">
        <f t="shared" si="2"/>
        <v>60.062500000000007</v>
      </c>
      <c r="E49" s="38">
        <f t="shared" si="2"/>
        <v>60.062500000000007</v>
      </c>
    </row>
    <row r="50" spans="1:5" x14ac:dyDescent="0.35">
      <c r="A50" s="13" t="s">
        <v>37</v>
      </c>
      <c r="B50" s="38">
        <f>B37^2*26</f>
        <v>62.465000000000011</v>
      </c>
      <c r="C50" s="38">
        <f t="shared" ref="C50:G50" si="3">C37^2*26</f>
        <v>62.465000000000011</v>
      </c>
      <c r="D50" s="38">
        <f t="shared" si="3"/>
        <v>62.465000000000011</v>
      </c>
      <c r="E50" s="38">
        <f t="shared" si="3"/>
        <v>62.465000000000011</v>
      </c>
    </row>
    <row r="52" spans="1:5" x14ac:dyDescent="0.35">
      <c r="C52" s="44"/>
    </row>
    <row r="53" spans="1:5" x14ac:dyDescent="0.35">
      <c r="C53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covarrubias</dc:creator>
  <cp:lastModifiedBy>karla covarrubias</cp:lastModifiedBy>
  <dcterms:created xsi:type="dcterms:W3CDTF">2026-08-13T16:02:58Z</dcterms:created>
  <dcterms:modified xsi:type="dcterms:W3CDTF">2026-08-13T16:04:00Z</dcterms:modified>
</cp:coreProperties>
</file>